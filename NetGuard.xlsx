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tit_rikkei\it1_cntt1\Session12\"/>
    </mc:Choice>
  </mc:AlternateContent>
  <xr:revisionPtr revIDLastSave="0" documentId="13_ncr:1_{91E83721-D987-46DF-B5DC-74E759E76A3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ảng mã độc" sheetId="1" r:id="rId1"/>
    <sheet name="Nhật kí sự cố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G2" i="2"/>
  <c r="F7" i="2"/>
  <c r="G6" i="2"/>
  <c r="F6" i="2"/>
  <c r="G5" i="2"/>
  <c r="F5" i="2"/>
  <c r="G4" i="2"/>
  <c r="F4" i="2"/>
  <c r="G3" i="2"/>
  <c r="F3" i="2"/>
  <c r="F2" i="2"/>
</calcChain>
</file>

<file path=xl/sharedStrings.xml><?xml version="1.0" encoding="utf-8"?>
<sst xmlns="http://schemas.openxmlformats.org/spreadsheetml/2006/main" count="49" uniqueCount="44">
  <si>
    <t>MAL-01</t>
  </si>
  <si>
    <t>Ransomware LockBit</t>
  </si>
  <si>
    <t>Cao (Critical)</t>
  </si>
  <si>
    <t>MAL-02</t>
  </si>
  <si>
    <t>Trojan Emotet</t>
  </si>
  <si>
    <t>MAL-03</t>
  </si>
  <si>
    <t>Spyware RedLine</t>
  </si>
  <si>
    <t>Trung bình (Medium)</t>
  </si>
  <si>
    <t>MAL-04</t>
  </si>
  <si>
    <t>Adware Generic</t>
  </si>
  <si>
    <t>Thấp (Low)</t>
  </si>
  <si>
    <t>MAL-05</t>
  </si>
  <si>
    <t>DDoS Botnet Mirai</t>
  </si>
  <si>
    <t>STT</t>
  </si>
  <si>
    <t>Raw_Ma_Doc_Input</t>
  </si>
  <si>
    <t>INC-101</t>
  </si>
  <si>
    <t xml:space="preserve"> MAL-01 </t>
  </si>
  <si>
    <t>192.168.1.50</t>
  </si>
  <si>
    <t>Server-DB01</t>
  </si>
  <si>
    <t>INC-102</t>
  </si>
  <si>
    <t>10.0.4.12</t>
  </si>
  <si>
    <t>PC-Kế toán</t>
  </si>
  <si>
    <t>INC-103</t>
  </si>
  <si>
    <t xml:space="preserve"> MAL-03   </t>
  </si>
  <si>
    <t>172.16.8.99</t>
  </si>
  <si>
    <t>Laptop-HR</t>
  </si>
  <si>
    <t>INC-104</t>
  </si>
  <si>
    <t>MAL-99</t>
  </si>
  <si>
    <t>192.168.2.15</t>
  </si>
  <si>
    <t>Server-Web</t>
  </si>
  <si>
    <t>INC-105</t>
  </si>
  <si>
    <t>10.0.1.5</t>
  </si>
  <si>
    <t>Router-Core</t>
  </si>
  <si>
    <t>INC-106</t>
  </si>
  <si>
    <t xml:space="preserve"> MAL-04 </t>
  </si>
  <si>
    <t>192.168.1.110</t>
  </si>
  <si>
    <t>PC-Marketing</t>
  </si>
  <si>
    <t>Mã sự cố</t>
  </si>
  <si>
    <t xml:space="preserve">Thiết bị </t>
  </si>
  <si>
    <t>Tên mã độc</t>
  </si>
  <si>
    <t>Mức độ</t>
  </si>
  <si>
    <t>IP nguồn</t>
  </si>
  <si>
    <t>Mã độc</t>
  </si>
  <si>
    <t>Mức độ nguy hiểm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</si>
</sst>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7" sqref="C7"/>
    </sheetView>
  </sheetViews>
  <sheetFormatPr defaultRowHeight="14.5" x14ac:dyDescent="0.35"/>
  <cols>
    <col min="1" max="1" width="10.7265625" customWidth="1"/>
    <col min="2" max="2" width="19.08984375" customWidth="1"/>
    <col min="3" max="3" width="20.1796875" customWidth="1"/>
  </cols>
  <sheetData>
    <row r="1" spans="1:3" ht="24" customHeight="1" x14ac:dyDescent="0.35">
      <c r="A1" s="3" t="s">
        <v>42</v>
      </c>
      <c r="B1" s="3" t="s">
        <v>39</v>
      </c>
      <c r="C1" s="3" t="s">
        <v>43</v>
      </c>
    </row>
    <row r="2" spans="1:3" x14ac:dyDescent="0.35">
      <c r="A2" s="1" t="s">
        <v>0</v>
      </c>
      <c r="B2" s="2" t="s">
        <v>1</v>
      </c>
      <c r="C2" s="1" t="s">
        <v>2</v>
      </c>
    </row>
    <row r="3" spans="1:3" x14ac:dyDescent="0.35">
      <c r="A3" s="1" t="s">
        <v>3</v>
      </c>
      <c r="B3" s="2" t="s">
        <v>4</v>
      </c>
      <c r="C3" s="1" t="s">
        <v>2</v>
      </c>
    </row>
    <row r="4" spans="1:3" x14ac:dyDescent="0.35">
      <c r="A4" s="1" t="s">
        <v>5</v>
      </c>
      <c r="B4" s="2" t="s">
        <v>6</v>
      </c>
      <c r="C4" s="1" t="s">
        <v>7</v>
      </c>
    </row>
    <row r="5" spans="1:3" x14ac:dyDescent="0.35">
      <c r="A5" s="1" t="s">
        <v>8</v>
      </c>
      <c r="B5" s="2" t="s">
        <v>9</v>
      </c>
      <c r="C5" s="1" t="s">
        <v>10</v>
      </c>
    </row>
    <row r="6" spans="1:3" x14ac:dyDescent="0.35">
      <c r="A6" s="1" t="s">
        <v>11</v>
      </c>
      <c r="B6" s="2" t="s">
        <v>12</v>
      </c>
      <c r="C6" s="1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G8" sqref="G8"/>
    </sheetView>
  </sheetViews>
  <sheetFormatPr defaultRowHeight="14.5" x14ac:dyDescent="0.35"/>
  <cols>
    <col min="1" max="1" width="7" customWidth="1"/>
    <col min="2" max="2" width="12.26953125" customWidth="1"/>
    <col min="3" max="3" width="19" customWidth="1"/>
    <col min="4" max="5" width="18" customWidth="1"/>
    <col min="6" max="6" width="25.90625" customWidth="1"/>
    <col min="7" max="7" width="20.1796875" customWidth="1"/>
  </cols>
  <sheetData>
    <row r="1" spans="1:7" ht="24" customHeight="1" x14ac:dyDescent="0.35">
      <c r="A1" s="3" t="s">
        <v>13</v>
      </c>
      <c r="B1" s="3" t="s">
        <v>37</v>
      </c>
      <c r="C1" s="3" t="s">
        <v>14</v>
      </c>
      <c r="D1" s="3" t="s">
        <v>41</v>
      </c>
      <c r="E1" s="3" t="s">
        <v>38</v>
      </c>
      <c r="F1" s="3" t="s">
        <v>39</v>
      </c>
      <c r="G1" s="3" t="s">
        <v>40</v>
      </c>
    </row>
    <row r="2" spans="1:7" x14ac:dyDescent="0.35">
      <c r="A2" s="4">
        <v>1</v>
      </c>
      <c r="B2" s="4" t="s">
        <v>15</v>
      </c>
      <c r="C2" s="4" t="s">
        <v>16</v>
      </c>
      <c r="D2" s="4" t="s">
        <v>17</v>
      </c>
      <c r="E2" s="5" t="s">
        <v>18</v>
      </c>
      <c r="F2" s="5" t="str">
        <f>IFERROR(VLOOKUP(TRIM(C2), 'Bảng mã độc'!$A$2:$C$6, 2, FALSE), "Chưa xác định")</f>
        <v>Ransomware LockBit</v>
      </c>
      <c r="G2" s="4" t="str">
        <f>IFERROR(VLOOKUP(TRIM(C2), 'Bảng mã độc'!$A$2:$C$6, 3, FALSE), "N/A")</f>
        <v>Cao (Critical)</v>
      </c>
    </row>
    <row r="3" spans="1:7" x14ac:dyDescent="0.35">
      <c r="A3" s="4">
        <v>2</v>
      </c>
      <c r="B3" s="4" t="s">
        <v>19</v>
      </c>
      <c r="C3" s="4" t="s">
        <v>3</v>
      </c>
      <c r="D3" s="4" t="s">
        <v>20</v>
      </c>
      <c r="E3" s="5" t="s">
        <v>21</v>
      </c>
      <c r="F3" s="5" t="str">
        <f>IFERROR(VLOOKUP(TRIM(C3), 'Bảng mã độc'!$A$2:$C$6, 2, FALSE), "Chưa xác định")</f>
        <v>Trojan Emotet</v>
      </c>
      <c r="G3" s="4" t="str">
        <f>IFERROR(VLOOKUP(TRIM(C3), 'Bảng mã độc'!$A$2:$C$6, 3, FALSE), "N/A")</f>
        <v>Cao (Critical)</v>
      </c>
    </row>
    <row r="4" spans="1:7" x14ac:dyDescent="0.35">
      <c r="A4" s="4">
        <v>3</v>
      </c>
      <c r="B4" s="4" t="s">
        <v>22</v>
      </c>
      <c r="C4" s="4" t="s">
        <v>23</v>
      </c>
      <c r="D4" s="4" t="s">
        <v>24</v>
      </c>
      <c r="E4" s="5" t="s">
        <v>25</v>
      </c>
      <c r="F4" s="5" t="str">
        <f>IFERROR(VLOOKUP(TRIM(C4), 'Bảng mã độc'!$A$2:$C$6, 2, FALSE), "Chưa xác định")</f>
        <v>Spyware RedLine</v>
      </c>
      <c r="G4" s="4" t="str">
        <f>IFERROR(VLOOKUP(TRIM(C4), 'Bảng mã độc'!$A$2:$C$6, 3, FALSE), "N/A")</f>
        <v>Trung bình (Medium)</v>
      </c>
    </row>
    <row r="5" spans="1:7" x14ac:dyDescent="0.35">
      <c r="A5" s="4">
        <v>4</v>
      </c>
      <c r="B5" s="4" t="s">
        <v>26</v>
      </c>
      <c r="C5" s="4" t="s">
        <v>27</v>
      </c>
      <c r="D5" s="4" t="s">
        <v>28</v>
      </c>
      <c r="E5" s="5" t="s">
        <v>29</v>
      </c>
      <c r="F5" s="5" t="str">
        <f>IFERROR(VLOOKUP(TRIM(C5), 'Bảng mã độc'!$A$2:$C$6, 2, FALSE), "Chưa xác định")</f>
        <v>Chưa xác định</v>
      </c>
      <c r="G5" s="4" t="str">
        <f>IFERROR(VLOOKUP(TRIM(C5), 'Bảng mã độc'!$A$2:$C$6, 3, FALSE), "N/A")</f>
        <v>N/A</v>
      </c>
    </row>
    <row r="6" spans="1:7" x14ac:dyDescent="0.35">
      <c r="A6" s="4">
        <v>5</v>
      </c>
      <c r="B6" s="4" t="s">
        <v>30</v>
      </c>
      <c r="C6" s="4" t="s">
        <v>11</v>
      </c>
      <c r="D6" s="4" t="s">
        <v>31</v>
      </c>
      <c r="E6" s="5" t="s">
        <v>32</v>
      </c>
      <c r="F6" s="5" t="str">
        <f>IFERROR(VLOOKUP(TRIM(C6), 'Bảng mã độc'!$A$2:$C$6, 2, FALSE), "Chưa xác định")</f>
        <v>DDoS Botnet Mirai</v>
      </c>
      <c r="G6" s="4" t="str">
        <f>IFERROR(VLOOKUP(TRIM(C6), 'Bảng mã độc'!$A$2:$C$6, 3, FALSE), "N/A")</f>
        <v>Cao (Critical)</v>
      </c>
    </row>
    <row r="7" spans="1:7" x14ac:dyDescent="0.35">
      <c r="A7" s="4">
        <v>6</v>
      </c>
      <c r="B7" s="4" t="s">
        <v>33</v>
      </c>
      <c r="C7" s="4" t="s">
        <v>34</v>
      </c>
      <c r="D7" s="4" t="s">
        <v>35</v>
      </c>
      <c r="E7" s="5" t="s">
        <v>36</v>
      </c>
      <c r="F7" s="5" t="str">
        <f>IFERROR(VLOOKUP(TRIM(C7), 'Bảng mã độc'!$A$2:$C$6, 2, FALSE), "Chưa xác định")</f>
        <v>Adware Generic</v>
      </c>
      <c r="G7" s="4" t="str">
        <f>IFERROR(VLOOKUP(TRIM(C7), 'Bảng mã độc'!$A$2:$C$6, 3, FALSE), "N/A")</f>
        <v>Thấp (Low)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Bảng mã độc</vt:lpstr>
      <vt:lpstr>Nhật kí sự cố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Huyen</cp:lastModifiedBy>
  <dcterms:created xsi:type="dcterms:W3CDTF">2026-10-26T06:44:09Z</dcterms:created>
  <dcterms:modified xsi:type="dcterms:W3CDTF">2026-10-26T14:47:58Z</dcterms:modified>
</cp:coreProperties>
</file>